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opscode\IAC-COE\OSFI-deployment-local\"/>
    </mc:Choice>
  </mc:AlternateContent>
  <bookViews>
    <workbookView xWindow="0" yWindow="0" windowWidth="28800" windowHeight="12300"/>
  </bookViews>
  <sheets>
    <sheet name="User Input" sheetId="3" r:id="rId1"/>
    <sheet name="Terraform Values" sheetId="4" r:id="rId2"/>
  </sheets>
  <externalReferences>
    <externalReference r:id="rId3"/>
  </externalReferences>
  <definedNames>
    <definedName name="TeamNames">[1]Lookups!$B$7:$B$12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3" l="1"/>
  <c r="B15" i="4" l="1"/>
  <c r="B8" i="4" l="1"/>
  <c r="B7" i="4"/>
  <c r="B2" i="4" l="1"/>
  <c r="B4" i="4" l="1"/>
  <c r="B21" i="3" l="1"/>
  <c r="B11" i="4" l="1"/>
  <c r="B3" i="4" l="1"/>
  <c r="A22" i="4" s="1"/>
  <c r="A27" i="4" l="1"/>
  <c r="A26" i="4"/>
  <c r="B9" i="4" l="1"/>
  <c r="A28" i="4" s="1"/>
  <c r="B6" i="4"/>
  <c r="A25" i="4" s="1"/>
  <c r="B5" i="4"/>
  <c r="A24" i="4" s="1"/>
  <c r="A23" i="4"/>
  <c r="B12" i="4" l="1"/>
  <c r="A31" i="4" s="1"/>
  <c r="B14" i="4"/>
  <c r="A33" i="4" s="1"/>
  <c r="B13" i="4"/>
  <c r="A32" i="4" s="1"/>
  <c r="A21" i="4" l="1"/>
  <c r="B10" i="4" l="1"/>
  <c r="A29" i="4" s="1"/>
  <c r="A30" i="4"/>
</calcChain>
</file>

<file path=xl/sharedStrings.xml><?xml version="1.0" encoding="utf-8"?>
<sst xmlns="http://schemas.openxmlformats.org/spreadsheetml/2006/main" count="103" uniqueCount="75">
  <si>
    <t>Project Name</t>
  </si>
  <si>
    <t>Project Desc</t>
  </si>
  <si>
    <t>Data Center</t>
  </si>
  <si>
    <t>Environment</t>
  </si>
  <si>
    <t>Zone</t>
  </si>
  <si>
    <t>ASKID</t>
  </si>
  <si>
    <t>Namespace Name</t>
  </si>
  <si>
    <t>Namespace Svc Acct</t>
  </si>
  <si>
    <t>Namespace Svc Acct Token</t>
  </si>
  <si>
    <t>ASK Name</t>
  </si>
  <si>
    <t>MS Global Group</t>
  </si>
  <si>
    <t>Network Zone</t>
  </si>
  <si>
    <t>Environment Zone</t>
  </si>
  <si>
    <t>Access_Key</t>
  </si>
  <si>
    <t>Secret_Key</t>
  </si>
  <si>
    <t>Bucket</t>
  </si>
  <si>
    <t xml:space="preserve">Values
</t>
  </si>
  <si>
    <t xml:space="preserve">Formats
</t>
  </si>
  <si>
    <t>Terraform Input</t>
  </si>
  <si>
    <t>S3 Access Key</t>
  </si>
  <si>
    <t>S3 Secret Key</t>
  </si>
  <si>
    <t>Terraform Variable</t>
  </si>
  <si>
    <t>Key</t>
  </si>
  <si>
    <t>endpoint_url</t>
  </si>
  <si>
    <t>ASK App Name</t>
  </si>
  <si>
    <t>Container Name</t>
  </si>
  <si>
    <t>Image URL</t>
  </si>
  <si>
    <t>Container exposed port</t>
  </si>
  <si>
    <t>Replica Count</t>
  </si>
  <si>
    <t>Other info</t>
  </si>
  <si>
    <t>Request Type</t>
  </si>
  <si>
    <t>S3</t>
  </si>
  <si>
    <t>image url from Artifactory or Docker etc…</t>
  </si>
  <si>
    <t>Choose from dropdown</t>
  </si>
  <si>
    <t>Should always be PROD for S3</t>
  </si>
  <si>
    <t>Ask ID from above, do not edit</t>
  </si>
  <si>
    <t>Choose from dropdown, env specific used for S3 key below</t>
  </si>
  <si>
    <t>Input Fields</t>
  </si>
  <si>
    <t>Articatory/Docker</t>
  </si>
  <si>
    <t>Global Group S3 request to manage active service in ESC</t>
  </si>
  <si>
    <t>S3 Key - pulled from values in this sheet must have all values</t>
  </si>
  <si>
    <t>Need values filled in</t>
  </si>
  <si>
    <t>AskID for App - uhg110-XXXX</t>
  </si>
  <si>
    <t>LEGEND</t>
  </si>
  <si>
    <t>Protected cells and should not be overridden</t>
  </si>
  <si>
    <t>S3 object storage setup - Click for Details</t>
  </si>
  <si>
    <t>Copy this section below for terraform.tfvars</t>
  </si>
  <si>
    <t>bucket</t>
  </si>
  <si>
    <t>key</t>
  </si>
  <si>
    <t>endpoint</t>
  </si>
  <si>
    <t>access_key</t>
  </si>
  <si>
    <t>secret_key</t>
  </si>
  <si>
    <t>TFVAR_NAMESPACE</t>
  </si>
  <si>
    <t>TFVAR_CONTAINER</t>
  </si>
  <si>
    <t>TFVAR_IMAGE_URL</t>
  </si>
  <si>
    <t>TFVAR_CONTAINER_EXPOSED_PORT</t>
  </si>
  <si>
    <t>TFVAR_REPLICA_COUNT</t>
  </si>
  <si>
    <t>PROD</t>
  </si>
  <si>
    <t>OSFI Project Name</t>
  </si>
  <si>
    <t>OSFI Project description</t>
  </si>
  <si>
    <t>OSFI Namspace name</t>
  </si>
  <si>
    <t>OSFI Svc Account Name</t>
  </si>
  <si>
    <t>OSFI Svc Account Token</t>
  </si>
  <si>
    <t>Name you would like for OSFI container</t>
  </si>
  <si>
    <t>Number - OSFI replica count for deployment (scaling)</t>
  </si>
  <si>
    <t>Number - Exposed port for OSFI container</t>
  </si>
  <si>
    <t>TFVAR_OSFI_SVCACCT_TOKEN</t>
  </si>
  <si>
    <t>TFVAR_DATACENTER_URL</t>
  </si>
  <si>
    <t>TFVAR_OSFI_CERTIFICATE</t>
  </si>
  <si>
    <t>OSFI Platform</t>
  </si>
  <si>
    <t>Container Test url</t>
  </si>
  <si>
    <t>K8/OKD</t>
  </si>
  <si>
    <t>Choose container platform - K8 or OKD</t>
  </si>
  <si>
    <t>OSFI project/namespace setup - Click for Details</t>
  </si>
  <si>
    <t>Choose from dropdown, PTC is NOT an option for OKD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</si>
</sst>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2F2F2F"/>
      <name val="Segoe UI"/>
      <family val="2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sz val="11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7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top"/>
    </xf>
    <xf numFmtId="0" fontId="0" fillId="0" borderId="0" xfId="0" applyFill="1"/>
    <xf numFmtId="0" fontId="0" fillId="0" borderId="0" xfId="0" applyFill="1" applyBorder="1"/>
    <xf numFmtId="0" fontId="3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4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vertical="top" wrapText="1"/>
    </xf>
    <xf numFmtId="0" fontId="0" fillId="0" borderId="1" xfId="0" applyBorder="1"/>
    <xf numFmtId="0" fontId="0" fillId="6" borderId="1" xfId="0" applyFont="1" applyFill="1" applyBorder="1" applyAlignment="1">
      <alignment vertical="center"/>
    </xf>
    <xf numFmtId="0" fontId="3" fillId="0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0" fontId="1" fillId="4" borderId="2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/>
    <xf numFmtId="0" fontId="3" fillId="6" borderId="1" xfId="0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6" borderId="1" xfId="0" applyNumberFormat="1" applyFont="1" applyFill="1" applyBorder="1"/>
    <xf numFmtId="0" fontId="0" fillId="0" borderId="0" xfId="0" applyBorder="1"/>
    <xf numFmtId="0" fontId="1" fillId="4" borderId="4" xfId="0" applyFont="1" applyFill="1" applyBorder="1" applyAlignment="1">
      <alignment horizontal="left" wrapText="1"/>
    </xf>
    <xf numFmtId="0" fontId="0" fillId="6" borderId="4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left" vertical="center"/>
    </xf>
    <xf numFmtId="0" fontId="0" fillId="6" borderId="4" xfId="0" quotePrefix="1" applyFont="1" applyFill="1" applyBorder="1" applyAlignment="1">
      <alignment horizontal="left"/>
    </xf>
    <xf numFmtId="0" fontId="0" fillId="0" borderId="0" xfId="0" quotePrefix="1" applyFont="1" applyFill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/>
    </xf>
    <xf numFmtId="0" fontId="0" fillId="0" borderId="5" xfId="0" quotePrefix="1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3" borderId="1" xfId="0" applyFill="1" applyBorder="1"/>
    <xf numFmtId="49" fontId="3" fillId="3" borderId="1" xfId="0" applyNumberFormat="1" applyFont="1" applyFill="1" applyBorder="1" applyAlignment="1">
      <alignment horizontal="left"/>
    </xf>
    <xf numFmtId="0" fontId="3" fillId="3" borderId="1" xfId="1" applyFont="1" applyFill="1" applyBorder="1" applyAlignment="1">
      <alignment horizontal="left"/>
    </xf>
    <xf numFmtId="14" fontId="3" fillId="3" borderId="1" xfId="0" quotePrefix="1" applyNumberFormat="1" applyFont="1" applyFill="1" applyBorder="1" applyAlignment="1">
      <alignment horizontal="left"/>
    </xf>
    <xf numFmtId="0" fontId="0" fillId="3" borderId="0" xfId="0" applyFill="1"/>
    <xf numFmtId="0" fontId="0" fillId="2" borderId="0" xfId="0" applyFill="1"/>
    <xf numFmtId="0" fontId="7" fillId="0" borderId="0" xfId="0" applyFont="1" applyAlignment="1">
      <alignment vertical="center"/>
    </xf>
    <xf numFmtId="0" fontId="0" fillId="9" borderId="1" xfId="0" applyFill="1" applyBorder="1"/>
    <xf numFmtId="0" fontId="8" fillId="0" borderId="0" xfId="0" applyFont="1"/>
    <xf numFmtId="0" fontId="0" fillId="10" borderId="0" xfId="0" applyFill="1"/>
    <xf numFmtId="0" fontId="3" fillId="6" borderId="1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3" fillId="11" borderId="2" xfId="0" applyFont="1" applyFill="1" applyBorder="1" applyAlignment="1">
      <alignment horizontal="left" wrapText="1"/>
    </xf>
    <xf numFmtId="0" fontId="3" fillId="11" borderId="4" xfId="0" applyFont="1" applyFill="1" applyBorder="1" applyAlignment="1">
      <alignment horizontal="left" wrapText="1"/>
    </xf>
    <xf numFmtId="0" fontId="3" fillId="12" borderId="1" xfId="0" applyFont="1" applyFill="1" applyBorder="1" applyAlignment="1">
      <alignment horizontal="left" wrapText="1"/>
    </xf>
    <xf numFmtId="0" fontId="9" fillId="9" borderId="1" xfId="0" applyFont="1" applyFill="1" applyBorder="1" applyAlignment="1">
      <alignment vertical="center"/>
    </xf>
    <xf numFmtId="0" fontId="9" fillId="9" borderId="0" xfId="0" applyFont="1" applyFill="1" applyAlignment="1">
      <alignment vertical="center"/>
    </xf>
    <xf numFmtId="0" fontId="0" fillId="6" borderId="0" xfId="0" applyFill="1"/>
    <xf numFmtId="0" fontId="0" fillId="5" borderId="1" xfId="0" applyNumberFormat="1" applyFill="1" applyBorder="1" applyAlignment="1">
      <alignment horizontal="left"/>
    </xf>
    <xf numFmtId="0" fontId="0" fillId="0" borderId="1" xfId="0" applyNumberFormat="1" applyBorder="1"/>
    <xf numFmtId="0" fontId="2" fillId="9" borderId="1" xfId="1" applyFill="1" applyBorder="1" applyAlignment="1">
      <alignment vertical="center"/>
    </xf>
    <xf numFmtId="0" fontId="4" fillId="0" borderId="0" xfId="1" applyFont="1" applyFill="1" applyBorder="1" applyAlignment="1"/>
    <xf numFmtId="0" fontId="4" fillId="0" borderId="0" xfId="1" applyFont="1" applyAlignment="1"/>
    <xf numFmtId="0" fontId="2" fillId="0" borderId="0" xfId="1" applyFill="1" applyBorder="1" applyAlignment="1">
      <alignment vertical="center"/>
    </xf>
    <xf numFmtId="0" fontId="2" fillId="0" borderId="0" xfId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4">
    <dxf>
      <font>
        <color theme="4" tint="0.79998168889431442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123826</xdr:rowOff>
    </xdr:from>
    <xdr:to>
      <xdr:col>7</xdr:col>
      <xdr:colOff>38101</xdr:colOff>
      <xdr:row>4</xdr:row>
      <xdr:rowOff>219076</xdr:rowOff>
    </xdr:to>
    <xdr:sp macro="[0]!sbClearCellsOnlyData" textlink="">
      <xdr:nvSpPr>
        <xdr:cNvPr id="2" name="Rectangle 1"/>
        <xdr:cNvSpPr/>
      </xdr:nvSpPr>
      <xdr:spPr>
        <a:xfrm>
          <a:off x="10429875" y="390526"/>
          <a:ext cx="1762126" cy="7048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600"/>
            <a:t>Clear</a:t>
          </a:r>
          <a:r>
            <a:rPr lang="en-US" sz="3600" baseline="0"/>
            <a:t> All</a:t>
          </a:r>
          <a:endParaRPr lang="en-US" sz="3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ed-sp.optum.com/pgm08/Shared%20Documents/CA%20Rally%20Excel%20Plug-in/CA%20Rally%20Impor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s"/>
      <sheetName val="User Input"/>
      <sheetName val="CapImport"/>
      <sheetName val="Admin Feat Import"/>
      <sheetName val="Admin US Import"/>
      <sheetName val="Admin Task Import"/>
      <sheetName val="IB&amp;D Env Feature Import"/>
      <sheetName val="IB&amp;D US import"/>
      <sheetName val="Task Autofill"/>
      <sheetName val="Task import"/>
      <sheetName val="Task inputs"/>
    </sheetNames>
    <sheetDataSet>
      <sheetData sheetId="0">
        <row r="7">
          <cell r="B7" t="str">
            <v>Agile Unlimited</v>
          </cell>
        </row>
        <row r="8">
          <cell r="B8" t="str">
            <v>Ingenious Solutions</v>
          </cell>
        </row>
        <row r="9">
          <cell r="B9" t="str">
            <v>Matrix</v>
          </cell>
        </row>
        <row r="10">
          <cell r="B10" t="str">
            <v>Optum Rx &amp; CIO</v>
          </cell>
        </row>
        <row r="11">
          <cell r="B11" t="str">
            <v>No More Secrets Kanban</v>
          </cell>
        </row>
        <row r="12">
          <cell r="B12" t="str">
            <v>Xtreme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optum.com/IAC-COE/OSFI-deployment-local/wiki" TargetMode="External"/><Relationship Id="rId2" Type="http://schemas.openxmlformats.org/officeDocument/2006/relationships/hyperlink" Target="https://github.optum.com/IAC-COE/K8-deployment-local/wiki/K8-Namespace-Setup" TargetMode="External"/><Relationship Id="rId1" Type="http://schemas.openxmlformats.org/officeDocument/2006/relationships/hyperlink" Target="https://github.optum.com/IAC-COE/K8-deployment-local/wiki/s3-setup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optum.com/IAC-COE/OSFI-deployment-local/wiki/s3-setu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38"/>
  <sheetViews>
    <sheetView showGridLines="0" tabSelected="1" workbookViewId="0">
      <selection activeCell="H27" sqref="H27"/>
    </sheetView>
  </sheetViews>
  <sheetFormatPr defaultRowHeight="15" x14ac:dyDescent="0.25"/>
  <cols>
    <col min="1" max="1" width="25.7109375" customWidth="1"/>
    <col min="2" max="2" width="49.7109375" customWidth="1"/>
    <col min="3" max="3" width="19.42578125" customWidth="1"/>
    <col min="4" max="4" width="56.42578125" customWidth="1"/>
    <col min="5" max="5" width="12.7109375" style="23" customWidth="1"/>
    <col min="6" max="107" width="9.140625" style="23"/>
  </cols>
  <sheetData>
    <row r="1" spans="1:107" ht="21" x14ac:dyDescent="0.35">
      <c r="A1" s="55" t="s">
        <v>73</v>
      </c>
      <c r="B1" s="56"/>
    </row>
    <row r="2" spans="1:107" s="11" customFormat="1" ht="15" customHeight="1" x14ac:dyDescent="0.25">
      <c r="A2" s="16" t="s">
        <v>37</v>
      </c>
      <c r="B2" s="9" t="s">
        <v>16</v>
      </c>
      <c r="C2" s="10" t="s">
        <v>30</v>
      </c>
      <c r="D2" s="24" t="s">
        <v>17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</row>
    <row r="3" spans="1:107" s="11" customFormat="1" ht="15" customHeight="1" x14ac:dyDescent="0.25">
      <c r="A3" s="46" t="s">
        <v>69</v>
      </c>
      <c r="B3" s="48"/>
      <c r="C3" s="19" t="s">
        <v>71</v>
      </c>
      <c r="D3" s="47" t="s">
        <v>72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</row>
    <row r="4" spans="1:107" s="11" customFormat="1" ht="18" customHeight="1" x14ac:dyDescent="0.25">
      <c r="A4" s="12" t="s">
        <v>0</v>
      </c>
      <c r="B4" s="32"/>
      <c r="C4" s="19" t="s">
        <v>71</v>
      </c>
      <c r="D4" s="25" t="s">
        <v>58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</row>
    <row r="5" spans="1:107" s="11" customFormat="1" ht="18" customHeight="1" x14ac:dyDescent="0.25">
      <c r="A5" s="12" t="s">
        <v>1</v>
      </c>
      <c r="B5" s="33"/>
      <c r="C5" s="19" t="s">
        <v>71</v>
      </c>
      <c r="D5" s="25" t="s">
        <v>59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</row>
    <row r="6" spans="1:107" s="11" customFormat="1" ht="18" customHeight="1" x14ac:dyDescent="0.25">
      <c r="A6" s="12" t="s">
        <v>2</v>
      </c>
      <c r="B6" s="32"/>
      <c r="C6" s="19" t="s">
        <v>71</v>
      </c>
      <c r="D6" s="26" t="s">
        <v>74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</row>
    <row r="7" spans="1:107" s="11" customFormat="1" ht="18" customHeight="1" x14ac:dyDescent="0.25">
      <c r="A7" s="12" t="s">
        <v>3</v>
      </c>
      <c r="B7" s="34"/>
      <c r="C7" s="19" t="s">
        <v>71</v>
      </c>
      <c r="D7" s="26" t="s">
        <v>36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</row>
    <row r="8" spans="1:107" s="11" customFormat="1" ht="18" customHeight="1" x14ac:dyDescent="0.25">
      <c r="A8" s="12" t="s">
        <v>4</v>
      </c>
      <c r="B8" s="33"/>
      <c r="C8" s="19" t="s">
        <v>71</v>
      </c>
      <c r="D8" s="26" t="s">
        <v>33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</row>
    <row r="9" spans="1:107" s="11" customFormat="1" ht="18" customHeight="1" x14ac:dyDescent="0.25">
      <c r="A9" s="12" t="s">
        <v>5</v>
      </c>
      <c r="B9" s="33"/>
      <c r="C9" s="19" t="s">
        <v>71</v>
      </c>
      <c r="D9" s="27" t="s">
        <v>42</v>
      </c>
      <c r="E9" s="23"/>
      <c r="F9" s="23" t="s">
        <v>43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</row>
    <row r="10" spans="1:107" s="11" customFormat="1" ht="18" customHeight="1" x14ac:dyDescent="0.25">
      <c r="A10" s="12" t="s">
        <v>6</v>
      </c>
      <c r="B10" s="35"/>
      <c r="C10" s="19" t="s">
        <v>71</v>
      </c>
      <c r="D10" s="27" t="s">
        <v>60</v>
      </c>
      <c r="E10" s="23"/>
      <c r="F10" s="38"/>
      <c r="G10" s="59" t="s">
        <v>41</v>
      </c>
      <c r="H10" s="59"/>
      <c r="I10" s="59"/>
      <c r="J10" s="59"/>
      <c r="K10" s="59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</row>
    <row r="11" spans="1:107" s="11" customFormat="1" ht="18" customHeight="1" x14ac:dyDescent="0.25">
      <c r="A11" s="12" t="s">
        <v>7</v>
      </c>
      <c r="B11" s="41"/>
      <c r="C11" s="19" t="s">
        <v>71</v>
      </c>
      <c r="D11" s="27" t="s">
        <v>61</v>
      </c>
      <c r="E11" s="23"/>
      <c r="F11" s="39"/>
      <c r="G11" s="59" t="s">
        <v>44</v>
      </c>
      <c r="H11" s="59"/>
      <c r="I11" s="59"/>
      <c r="J11" s="59"/>
      <c r="K11" s="59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</row>
    <row r="12" spans="1:107" s="11" customFormat="1" ht="18" customHeight="1" x14ac:dyDescent="0.25">
      <c r="A12" s="12" t="s">
        <v>8</v>
      </c>
      <c r="B12" s="54"/>
      <c r="C12" s="19" t="s">
        <v>71</v>
      </c>
      <c r="D12" s="27" t="s">
        <v>62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</row>
    <row r="13" spans="1:107" s="4" customFormat="1" x14ac:dyDescent="0.25">
      <c r="A13" s="6"/>
      <c r="B13" s="5"/>
      <c r="C13" s="14"/>
      <c r="D13" s="28"/>
    </row>
    <row r="14" spans="1:107" s="3" customFormat="1" x14ac:dyDescent="0.25">
      <c r="A14" s="15"/>
      <c r="B14" s="5"/>
      <c r="C14" s="5"/>
      <c r="D14" s="28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3" customFormat="1" x14ac:dyDescent="0.25">
      <c r="A15" s="57" t="s">
        <v>45</v>
      </c>
      <c r="B15" s="58"/>
      <c r="C15" s="30"/>
      <c r="D15" s="31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1" customFormat="1" ht="15" customHeight="1" x14ac:dyDescent="0.25">
      <c r="A16" s="16" t="s">
        <v>37</v>
      </c>
      <c r="B16" s="9"/>
      <c r="C16" s="10" t="s">
        <v>30</v>
      </c>
      <c r="D16" s="24" t="s">
        <v>17</v>
      </c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</row>
    <row r="17" spans="1:107" s="11" customFormat="1" ht="18" customHeight="1" x14ac:dyDescent="0.25">
      <c r="A17" s="12" t="s">
        <v>9</v>
      </c>
      <c r="B17" s="36"/>
      <c r="C17" s="20" t="s">
        <v>31</v>
      </c>
      <c r="D17" s="26" t="s">
        <v>24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</row>
    <row r="18" spans="1:107" s="11" customFormat="1" ht="18" customHeight="1" x14ac:dyDescent="0.25">
      <c r="A18" s="12" t="s">
        <v>10</v>
      </c>
      <c r="B18" s="32"/>
      <c r="C18" s="20" t="s">
        <v>31</v>
      </c>
      <c r="D18" s="26" t="s">
        <v>39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</row>
    <row r="19" spans="1:107" s="11" customFormat="1" ht="18" customHeight="1" x14ac:dyDescent="0.25">
      <c r="A19" s="12" t="s">
        <v>11</v>
      </c>
      <c r="B19" s="37"/>
      <c r="C19" s="20" t="s">
        <v>31</v>
      </c>
      <c r="D19" s="26" t="s">
        <v>33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</row>
    <row r="20" spans="1:107" s="11" customFormat="1" ht="18" customHeight="1" x14ac:dyDescent="0.25">
      <c r="A20" s="12" t="s">
        <v>12</v>
      </c>
      <c r="B20" s="44" t="s">
        <v>57</v>
      </c>
      <c r="C20" s="20" t="s">
        <v>31</v>
      </c>
      <c r="D20" s="26" t="s">
        <v>34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</row>
    <row r="21" spans="1:107" s="11" customFormat="1" ht="18" customHeight="1" x14ac:dyDescent="0.25">
      <c r="A21" s="12" t="s">
        <v>15</v>
      </c>
      <c r="B21" s="22" t="str">
        <f>LOWER(B9)</f>
        <v/>
      </c>
      <c r="C21" s="20" t="s">
        <v>31</v>
      </c>
      <c r="D21" s="26" t="s">
        <v>35</v>
      </c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</row>
    <row r="22" spans="1:107" s="11" customFormat="1" ht="18" customHeight="1" x14ac:dyDescent="0.25">
      <c r="A22" s="12" t="s">
        <v>22</v>
      </c>
      <c r="B22" s="51" t="e">
        <f>CONCATENATE(B10,"/",B30,"/",B8,"_",B6,"_",MID(B7,FIND(" ",B7)+1,256),"/terraform.tfstate")</f>
        <v>#VALUE!</v>
      </c>
      <c r="C22" s="20" t="s">
        <v>31</v>
      </c>
      <c r="D22" s="26" t="s">
        <v>40</v>
      </c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</row>
    <row r="23" spans="1:107" s="11" customFormat="1" ht="18" customHeight="1" x14ac:dyDescent="0.25">
      <c r="A23" s="12" t="s">
        <v>23</v>
      </c>
      <c r="B23" s="32"/>
      <c r="C23" s="20" t="s">
        <v>31</v>
      </c>
      <c r="D23" s="26" t="s">
        <v>33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</row>
    <row r="24" spans="1:107" s="11" customFormat="1" ht="18" customHeight="1" x14ac:dyDescent="0.25">
      <c r="A24" s="12" t="s">
        <v>13</v>
      </c>
      <c r="B24" s="49"/>
      <c r="C24" s="20" t="s">
        <v>31</v>
      </c>
      <c r="D24" s="26" t="s">
        <v>19</v>
      </c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</row>
    <row r="25" spans="1:107" s="11" customFormat="1" ht="18" customHeight="1" x14ac:dyDescent="0.25">
      <c r="A25" s="12" t="s">
        <v>14</v>
      </c>
      <c r="B25" s="49"/>
      <c r="C25" s="20" t="s">
        <v>31</v>
      </c>
      <c r="D25" s="26" t="s">
        <v>20</v>
      </c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</row>
    <row r="26" spans="1:107" s="4" customFormat="1" x14ac:dyDescent="0.25">
      <c r="A26" s="6"/>
      <c r="B26" s="5"/>
      <c r="C26" s="13"/>
      <c r="D26" s="29"/>
    </row>
    <row r="27" spans="1:107" s="4" customFormat="1" x14ac:dyDescent="0.25">
      <c r="A27" s="6"/>
      <c r="B27" s="5"/>
      <c r="C27" s="5"/>
      <c r="D27" s="29"/>
    </row>
    <row r="28" spans="1:107" s="4" customFormat="1" ht="21" x14ac:dyDescent="0.25">
      <c r="A28" s="17" t="s">
        <v>29</v>
      </c>
      <c r="B28" s="5"/>
      <c r="C28" s="5"/>
      <c r="D28" s="29"/>
    </row>
    <row r="29" spans="1:107" s="11" customFormat="1" ht="15" customHeight="1" x14ac:dyDescent="0.25">
      <c r="A29" s="16" t="s">
        <v>37</v>
      </c>
      <c r="B29" s="9"/>
      <c r="C29" s="10" t="s">
        <v>30</v>
      </c>
      <c r="D29" s="24" t="s">
        <v>17</v>
      </c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</row>
    <row r="30" spans="1:107" s="11" customFormat="1" ht="18" customHeight="1" x14ac:dyDescent="0.25">
      <c r="A30" s="12" t="s">
        <v>25</v>
      </c>
      <c r="B30" s="32"/>
      <c r="C30" s="21" t="s">
        <v>71</v>
      </c>
      <c r="D30" s="26" t="s">
        <v>63</v>
      </c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</row>
    <row r="31" spans="1:107" s="11" customFormat="1" ht="18" customHeight="1" x14ac:dyDescent="0.25">
      <c r="A31" s="12" t="s">
        <v>28</v>
      </c>
      <c r="B31" s="32"/>
      <c r="C31" s="21" t="s">
        <v>71</v>
      </c>
      <c r="D31" s="26" t="s">
        <v>64</v>
      </c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</row>
    <row r="32" spans="1:107" s="11" customFormat="1" ht="18" customHeight="1" x14ac:dyDescent="0.25">
      <c r="A32" s="12" t="s">
        <v>26</v>
      </c>
      <c r="B32" s="50"/>
      <c r="C32" s="19" t="s">
        <v>38</v>
      </c>
      <c r="D32" s="26" t="s">
        <v>32</v>
      </c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</row>
    <row r="33" spans="1:107" s="11" customFormat="1" ht="18" customHeight="1" x14ac:dyDescent="0.25">
      <c r="A33" s="12" t="s">
        <v>27</v>
      </c>
      <c r="B33" s="32"/>
      <c r="C33" s="19" t="s">
        <v>38</v>
      </c>
      <c r="D33" s="26" t="s">
        <v>65</v>
      </c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</row>
    <row r="35" spans="1:107" x14ac:dyDescent="0.25">
      <c r="F35" s="6"/>
    </row>
    <row r="36" spans="1:107" x14ac:dyDescent="0.25">
      <c r="F36" s="6"/>
    </row>
    <row r="37" spans="1:107" x14ac:dyDescent="0.25">
      <c r="F37" s="6"/>
    </row>
    <row r="38" spans="1:107" ht="17.25" x14ac:dyDescent="0.3">
      <c r="A38" s="18"/>
      <c r="F38" s="6"/>
    </row>
  </sheetData>
  <mergeCells count="4">
    <mergeCell ref="A1:B1"/>
    <mergeCell ref="A15:B15"/>
    <mergeCell ref="G10:K10"/>
    <mergeCell ref="G11:K11"/>
  </mergeCells>
  <conditionalFormatting sqref="B22">
    <cfRule type="expression" dxfId="3" priority="1">
      <formula>ISERROR(B22)</formula>
    </cfRule>
  </conditionalFormatting>
  <dataValidations count="6">
    <dataValidation type="list" allowBlank="1" showInputMessage="1" showErrorMessage="1" sqref="B6">
      <formula1>"ELR,CTC,PTC"</formula1>
    </dataValidation>
    <dataValidation type="list" allowBlank="1" showInputMessage="1" showErrorMessage="1" sqref="B8">
      <formula1>"Core,DMZ"</formula1>
    </dataValidation>
    <dataValidation type="list" allowBlank="1" showInputMessage="1" showErrorMessage="1" sqref="B7">
      <formula1>"Non-Prod Dev,Non-Prod Test,Non-Prod Stage,Prod Prod"</formula1>
    </dataValidation>
    <dataValidation type="list" allowBlank="1" showInputMessage="1" showErrorMessage="1" sqref="B19">
      <formula1>"Intranet,Internet"</formula1>
    </dataValidation>
    <dataValidation type="list" allowBlank="1" showInputMessage="1" showErrorMessage="1" sqref="B23">
      <formula1>"s3api-core.uhc.com"</formula1>
    </dataValidation>
    <dataValidation type="list" allowBlank="1" showInputMessage="1" showErrorMessage="1" sqref="B3">
      <formula1>"K8,OKD"</formula1>
    </dataValidation>
  </dataValidations>
  <hyperlinks>
    <hyperlink ref="A15" r:id="rId1" display="S3 object storage setup"/>
    <hyperlink ref="A1" r:id="rId2" display="Kubernetes project/namespce info "/>
    <hyperlink ref="A1:B1" r:id="rId3" display="OSFI project/namespace setup - Ciick for Details"/>
    <hyperlink ref="A15:B15" r:id="rId4" display="S3 object storage setup - Click for Details"/>
  </hyperlinks>
  <pageMargins left="0.7" right="0.7" top="0.75" bottom="0.75" header="0.3" footer="0.3"/>
  <pageSetup orientation="portrait" horizontalDpi="4294967293" verticalDpi="4294967293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3"/>
  <sheetViews>
    <sheetView showGridLines="0" showZeros="0" workbookViewId="0">
      <selection activeCell="A24" sqref="A24"/>
    </sheetView>
  </sheetViews>
  <sheetFormatPr defaultRowHeight="15" x14ac:dyDescent="0.25"/>
  <cols>
    <col min="1" max="1" width="67" customWidth="1"/>
    <col min="2" max="2" width="60.85546875" customWidth="1"/>
  </cols>
  <sheetData>
    <row r="1" spans="1:8" ht="36" customHeight="1" x14ac:dyDescent="0.25">
      <c r="A1" s="2" t="s">
        <v>21</v>
      </c>
      <c r="B1" s="2" t="s">
        <v>18</v>
      </c>
    </row>
    <row r="2" spans="1:8" x14ac:dyDescent="0.25">
      <c r="A2" s="1" t="s">
        <v>52</v>
      </c>
      <c r="B2" s="52" t="str">
        <f>LOWER('User Input'!B10)</f>
        <v/>
      </c>
    </row>
    <row r="3" spans="1:8" x14ac:dyDescent="0.25">
      <c r="A3" s="1" t="s">
        <v>66</v>
      </c>
      <c r="B3" s="7">
        <f>+'User Input'!B12</f>
        <v>0</v>
      </c>
    </row>
    <row r="4" spans="1:8" x14ac:dyDescent="0.25">
      <c r="A4" s="1" t="s">
        <v>53</v>
      </c>
      <c r="B4" s="8" t="str">
        <f>LOWER('User Input'!B30)</f>
        <v/>
      </c>
    </row>
    <row r="5" spans="1:8" x14ac:dyDescent="0.25">
      <c r="A5" s="1" t="s">
        <v>54</v>
      </c>
      <c r="B5" s="7">
        <f>+'User Input'!B32</f>
        <v>0</v>
      </c>
    </row>
    <row r="6" spans="1:8" x14ac:dyDescent="0.25">
      <c r="A6" s="1" t="s">
        <v>55</v>
      </c>
      <c r="B6" s="8">
        <f>+'User Input'!B33</f>
        <v>0</v>
      </c>
    </row>
    <row r="7" spans="1:8" x14ac:dyDescent="0.25">
      <c r="A7" s="1" t="s">
        <v>67</v>
      </c>
      <c r="B7" s="7" t="b">
        <f>IF(AND('User Input'!B6="ELR",'User Input'!B3="K8"),"https://10.49.2.252:6443",IF(AND('User Input'!B6="CTC",'User Input'!B3="K8"),"https://10.202.2.252:6443",IF(AND('User Input'!B6="PTC",'User Input'!B3="K8"),"https://10.111.2.252:6443",IF(AND('User Input'!B6="ELR",'User Input'!B3="OKD",'User Input'!B7="Non-Prod Dev"),"https://ocp-elr-core-nonprod.optum.com",IF(AND('User Input'!B6="ELR",'User Input'!B3="OKD",'User Input'!B7="Non-Prod Test"),"https://ocp-elr-core-nonprod.optum.com",IF(AND('User Input'!B6="ELR",'User Input'!B3="OKD",'User Input'!B7="Non-Prod Stage"),"https://origin-elr-core.optum.com",IF(AND('User Input'!B6="ELR",'User Input'!B3="OKD",'User Input'!B7="Prod Prod"),"https://origin-elr-core.optum.com",IF(AND('User Input'!B6="CTC",'User Input'!B3="OKD",'User Input'!B7="Non-Prod Dev"),"https://ocp-ctc-core-nonprod.optum.com",IF(AND('User Input'!B6="CTC",'User Input'!B3="OKD",'User Input'!B7="Non-Prod Test"),"https://ocp-ctc-core-nonprod.optum.com",IF(AND('User Input'!B6="CTC",'User Input'!B3="OKD",'User Input'!B7="Non-Prod Stage"),"https://origin-ctc-core.optum.com",IF(AND('User Input'!B6="CTC",'User Input'!B3="OKD",'User Input'!B7="Prod Prod"),"https://origin-ctc-core.optum.com",IF(AND('User Input'!B6="PTC",'User Input'!B3="OKD"),"Invalid DC for OKD"))))))))))))</f>
        <v>0</v>
      </c>
    </row>
    <row r="8" spans="1:8" x14ac:dyDescent="0.25">
      <c r="A8" s="1" t="s">
        <v>68</v>
      </c>
      <c r="B8" s="8" t="b">
        <f>IF(AND('User Input'!B6="ELR",'User Input'!B3="K8"),"certs/k8_ca_elr_all.crt",IF(AND('User Input'!B6="CTC",'User Input'!B3="K8"),"certs/k8_ca_ctc_all.crt",IF(AND('User Input'!B6="PTC",'User Input'!B3="K8"),"certs/k8_ca_ptc_all.crt",IF(AND('User Input'!B6="ELR",'User Input'!B3="OKD",'User Input'!B7="Non-Prod Dev"),"certs/okd_ca_elr_nonprd.crt",IF(AND('User Input'!B6="ELR",'User Input'!B3="OKD",'User Input'!B7="Non-Prod Test"),"certs/okd_ca_elr_nonprd.crt",IF(AND('User Input'!B6="ELR",'User Input'!B3="OKD",'User Input'!B7="Non-Prod Stage"),"certs/okd_ca_elr_stgprd.crt",IF(AND('User Input'!B6="ELR",'User Input'!B3="OKD",'User Input'!B7="Prod Prod"),"certs/okd_ca_elr_stgprd.crt",IF(AND('User Input'!B6="CTC",'User Input'!B3="OKD",'User Input'!B7="Non-Prod Dev"),"certs/okd_ca_ctc_nonprd.crt",IF(AND('User Input'!B6="CTC",'User Input'!B3="OKD",'User Input'!B7="Non-Prod Test"),"certs/okd_ca_ctc_nonprd.crt",IF(AND('User Input'!B6="CTC",'User Input'!B3="OKD",'User Input'!B7="Non-Prod Stage"),"certs/okd_ca_ctc_stgprd.crt",IF(AND('User Input'!B6="CTC",'User Input'!B3="OKD",'User Input'!B7="Prod Prod"),"certs/okd_ca_ctc_stgprd.crt",IF(AND('User Input'!B6="PTC",'User Input'!B3="OKD"),"Invalid DC for OKD"))))))))))))</f>
        <v>0</v>
      </c>
    </row>
    <row r="9" spans="1:8" x14ac:dyDescent="0.25">
      <c r="A9" s="1" t="s">
        <v>56</v>
      </c>
      <c r="B9" s="7">
        <f>+'User Input'!B31</f>
        <v>0</v>
      </c>
    </row>
    <row r="10" spans="1:8" x14ac:dyDescent="0.25">
      <c r="A10" s="1" t="s">
        <v>47</v>
      </c>
      <c r="B10" s="8" t="str">
        <f>+'User Input'!B21</f>
        <v/>
      </c>
      <c r="H10" s="40"/>
    </row>
    <row r="11" spans="1:8" x14ac:dyDescent="0.25">
      <c r="A11" s="1" t="s">
        <v>48</v>
      </c>
      <c r="B11" s="7" t="e">
        <f>LOWER('User Input'!B22)</f>
        <v>#VALUE!</v>
      </c>
    </row>
    <row r="12" spans="1:8" x14ac:dyDescent="0.25">
      <c r="A12" s="1" t="s">
        <v>49</v>
      </c>
      <c r="B12" s="8">
        <f>+'User Input'!B23</f>
        <v>0</v>
      </c>
    </row>
    <row r="13" spans="1:8" x14ac:dyDescent="0.25">
      <c r="A13" s="1" t="s">
        <v>50</v>
      </c>
      <c r="B13" s="7">
        <f>+'User Input'!B24</f>
        <v>0</v>
      </c>
    </row>
    <row r="14" spans="1:8" x14ac:dyDescent="0.25">
      <c r="A14" s="1" t="s">
        <v>51</v>
      </c>
      <c r="B14" s="8">
        <f>+'User Input'!B25</f>
        <v>0</v>
      </c>
    </row>
    <row r="15" spans="1:8" x14ac:dyDescent="0.25">
      <c r="A15" s="1" t="s">
        <v>70</v>
      </c>
      <c r="B15" s="53" t="b">
        <f>IF(AND('User Input'!B6="ELR",'User Input'!B3="K8"),"http://k8s-prod-elr-aci.optum.com:xxxxx",IF(AND('User Input'!B6="CTC",'User Input'!B3="K8"),"http://k8s-prod-ctc-aci.optum.com:xxxxx",IF(AND('User Input'!B6="PTC",'User Input'!B3="K8"),"http://k8s-prod-ptc-aci.optum.com:xxxxx",IF(AND('User Input'!B6="ELR",'User Input'!B3="OKD",'User Input'!B7="Non-Prod Dev"),"http://"&amp;'User Input'!B30&amp;"-"&amp;'User Input'!B10&amp;".ocp-"&amp;'User Input'!B6&amp;"-core-nonprod.optum.com",IF(AND('User Input'!B6="ELR",'User Input'!B3="OKD",'User Input'!B7="Non-Prod Test"),"http://"&amp;'User Input'!B30&amp;"-"&amp;'User Input'!B10&amp;".ocp-"&amp;'User Input'!B6&amp;"-core-nonprod.optum.com",IF(AND('User Input'!B6="ELR",'User Input'!B3="OKD",'User Input'!B7="Non-Prod Stage"),"http://"&amp;'User Input'!B30&amp;"-"&amp;'User Input'!B10&amp;".origin-"&amp;'User Input'!B6&amp;"-core.optum.com",IF(AND('User Input'!B6="ELR",'User Input'!B3="OKD",'User Input'!B7="Prod Prod"),"http://"&amp;'User Input'!B30&amp;"-"&amp;'User Input'!B10&amp;".origin-"&amp;'User Input'!B6&amp;"-core.optum.com",IF(AND('User Input'!B6="CTC",'User Input'!B3="OKD",'User Input'!B7="Non-Prod Dev"),"http://"&amp;'User Input'!B30&amp;"-"&amp;'User Input'!B10&amp;".ocp-"&amp;'User Input'!B6&amp;"-core.optum.com",IF(AND('User Input'!B6="CTC",'User Input'!B3="OKD",'User Input'!B7="Non-Prod Test"),"http://"&amp;'User Input'!B30&amp;"-"&amp;'User Input'!B10&amp;".ocp-"&amp;'User Input'!B6&amp;"-core.optum.com",IF(AND('User Input'!B6="CTC",'User Input'!B3="OKD",'User Input'!B7="Non-Prod Stage"),"http://"&amp;'User Input'!B30&amp;"-"&amp;'User Input'!B10&amp;".origin-"&amp;'User Input'!B6&amp;"-core.optum.com",IF(AND('User Input'!B6="CTC",'User Input'!B3="OKD",'User Input'!B7="Prod Prod"),"http://"&amp;'User Input'!B30&amp;"-"&amp;'User Input'!B10&amp;".origin-"&amp;'User Input'!B6&amp;"-core.optum.com")))))))))))</f>
        <v>0</v>
      </c>
    </row>
    <row r="19" spans="1:1" x14ac:dyDescent="0.25">
      <c r="A19" s="42" t="s">
        <v>46</v>
      </c>
    </row>
    <row r="21" spans="1:1" x14ac:dyDescent="0.25">
      <c r="A21" s="43" t="str">
        <f t="shared" ref="A21:A33" si="0">A2&amp;" = """&amp;B2&amp;""""</f>
        <v>TFVAR_NAMESPACE = ""</v>
      </c>
    </row>
    <row r="22" spans="1:1" x14ac:dyDescent="0.25">
      <c r="A22" s="43" t="str">
        <f t="shared" si="0"/>
        <v>TFVAR_OSFI_SVCACCT_TOKEN = "0"</v>
      </c>
    </row>
    <row r="23" spans="1:1" x14ac:dyDescent="0.25">
      <c r="A23" s="43" t="str">
        <f t="shared" si="0"/>
        <v>TFVAR_CONTAINER = ""</v>
      </c>
    </row>
    <row r="24" spans="1:1" x14ac:dyDescent="0.25">
      <c r="A24" s="43" t="str">
        <f t="shared" si="0"/>
        <v>TFVAR_IMAGE_URL = "0"</v>
      </c>
    </row>
    <row r="25" spans="1:1" x14ac:dyDescent="0.25">
      <c r="A25" s="43" t="str">
        <f t="shared" si="0"/>
        <v>TFVAR_CONTAINER_EXPOSED_PORT = "0"</v>
      </c>
    </row>
    <row r="26" spans="1:1" x14ac:dyDescent="0.25">
      <c r="A26" s="43" t="str">
        <f t="shared" si="0"/>
        <v>TFVAR_DATACENTER_URL = "FALSE"</v>
      </c>
    </row>
    <row r="27" spans="1:1" x14ac:dyDescent="0.25">
      <c r="A27" s="43" t="str">
        <f t="shared" si="0"/>
        <v>TFVAR_OSFI_CERTIFICATE = "FALSE"</v>
      </c>
    </row>
    <row r="28" spans="1:1" x14ac:dyDescent="0.25">
      <c r="A28" s="43" t="str">
        <f t="shared" si="0"/>
        <v>TFVAR_REPLICA_COUNT = "0"</v>
      </c>
    </row>
    <row r="29" spans="1:1" x14ac:dyDescent="0.25">
      <c r="A29" s="43" t="str">
        <f t="shared" si="0"/>
        <v>bucket = ""</v>
      </c>
    </row>
    <row r="30" spans="1:1" x14ac:dyDescent="0.25">
      <c r="A30" s="45" t="str">
        <f>IF(ISERROR(B11),"key=""""",A11&amp;" = """&amp;B11&amp;"""")</f>
        <v>key=""</v>
      </c>
    </row>
    <row r="31" spans="1:1" x14ac:dyDescent="0.25">
      <c r="A31" s="43" t="str">
        <f t="shared" si="0"/>
        <v>endpoint = "0"</v>
      </c>
    </row>
    <row r="32" spans="1:1" x14ac:dyDescent="0.25">
      <c r="A32" s="43" t="str">
        <f t="shared" si="0"/>
        <v>access_key = "0"</v>
      </c>
    </row>
    <row r="33" spans="1:1" x14ac:dyDescent="0.25">
      <c r="A33" s="43" t="str">
        <f t="shared" si="0"/>
        <v>secret_key = "0"</v>
      </c>
    </row>
  </sheetData>
  <conditionalFormatting sqref="B11">
    <cfRule type="expression" dxfId="2" priority="11">
      <formula>ISERROR(B11)</formula>
    </cfRule>
  </conditionalFormatting>
  <conditionalFormatting sqref="B7">
    <cfRule type="cellIs" dxfId="1" priority="7" operator="equal">
      <formula>FALSE</formula>
    </cfRule>
  </conditionalFormatting>
  <conditionalFormatting sqref="B8">
    <cfRule type="cellIs" dxfId="0" priority="6" operator="equal">
      <formula>FALSE</formula>
    </cfRule>
  </conditionalFormatting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Input</vt:lpstr>
      <vt:lpstr>Terraform Values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Walls, Daniel E</dc:creator>
  <cp:lastModifiedBy>Sullivan, Benjamin J</cp:lastModifiedBy>
  <dcterms:created xsi:type="dcterms:W3CDTF">2019-08-19T13:27:39Z</dcterms:created>
  <dcterms:modified xsi:type="dcterms:W3CDTF">2019-09-12T20:48:11Z</dcterms:modified>
</cp:coreProperties>
</file>